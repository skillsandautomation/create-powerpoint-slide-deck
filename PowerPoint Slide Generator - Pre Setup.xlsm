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Youtube\Current\Feb 24\Powerpoint\Demo\"/>
    </mc:Choice>
  </mc:AlternateContent>
  <xr:revisionPtr revIDLastSave="0" documentId="8_{BBE73E69-9BE3-431C-8750-4A84490023BE}" xr6:coauthVersionLast="47" xr6:coauthVersionMax="47" xr10:uidLastSave="{00000000-0000-0000-0000-000000000000}"/>
  <bookViews>
    <workbookView xWindow="-120" yWindow="-120" windowWidth="29040" windowHeight="15720" activeTab="3" xr2:uid="{A1CF4A79-3291-4796-A747-0A4BAC765D90}"/>
  </bookViews>
  <sheets>
    <sheet name="Main" sheetId="1" r:id="rId1"/>
    <sheet name="Data" sheetId="3" r:id="rId2"/>
    <sheet name="Stores" sheetId="10" r:id="rId3"/>
    <sheet name="Paste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D16" i="1"/>
  <c r="D15" i="1"/>
  <c r="E15" i="1" s="1"/>
  <c r="D14" i="1"/>
  <c r="E14" i="1" s="1"/>
  <c r="D12" i="1"/>
  <c r="E12" i="1" s="1"/>
  <c r="D11" i="1"/>
  <c r="E11" i="1" s="1"/>
  <c r="D10" i="1"/>
  <c r="D8" i="1"/>
  <c r="E8" i="1" s="1"/>
  <c r="D7" i="1"/>
  <c r="E7" i="1" s="1"/>
  <c r="D6" i="1"/>
  <c r="D4" i="1"/>
  <c r="E4" i="1" s="1"/>
  <c r="D3" i="1"/>
  <c r="E3" i="1" s="1"/>
  <c r="D2" i="1"/>
  <c r="C17" i="1"/>
  <c r="C13" i="1"/>
  <c r="C9" i="1"/>
  <c r="C5" i="1"/>
  <c r="C18" i="1" l="1"/>
  <c r="D13" i="1"/>
  <c r="E13" i="1" s="1"/>
  <c r="D9" i="1"/>
  <c r="E9" i="1" s="1"/>
  <c r="D5" i="1"/>
  <c r="E5" i="1" s="1"/>
  <c r="D17" i="1"/>
  <c r="E17" i="1" s="1"/>
  <c r="E16" i="1"/>
  <c r="E6" i="1"/>
  <c r="E10" i="1"/>
  <c r="D18" i="1" l="1"/>
  <c r="E18" i="1" s="1"/>
</calcChain>
</file>

<file path=xl/sharedStrings.xml><?xml version="1.0" encoding="utf-8"?>
<sst xmlns="http://schemas.openxmlformats.org/spreadsheetml/2006/main" count="82" uniqueCount="19">
  <si>
    <t>Date</t>
  </si>
  <si>
    <t>Store</t>
  </si>
  <si>
    <t>Product</t>
  </si>
  <si>
    <t>Units Sold</t>
  </si>
  <si>
    <t>North Point Mart</t>
  </si>
  <si>
    <t>South Point Mart</t>
  </si>
  <si>
    <t>East Point Mart</t>
  </si>
  <si>
    <t>West Point Mart</t>
  </si>
  <si>
    <t>Jam</t>
  </si>
  <si>
    <t>Marmalade</t>
  </si>
  <si>
    <t>Chutney</t>
  </si>
  <si>
    <t>Actual</t>
  </si>
  <si>
    <t>Budget</t>
  </si>
  <si>
    <t>Total</t>
  </si>
  <si>
    <t>Variance</t>
  </si>
  <si>
    <t>All Stores</t>
  </si>
  <si>
    <t>February</t>
  </si>
  <si>
    <t>Stores</t>
  </si>
  <si>
    <t>Total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</si>
</sst>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theme="5" tint="-0.249977111117893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5" borderId="4" xfId="0" applyFill="1" applyBorder="1"/>
    <xf numFmtId="0" fontId="0" fillId="5" borderId="5" xfId="0" applyFill="1" applyBorder="1"/>
    <xf numFmtId="0" fontId="4" fillId="5" borderId="5" xfId="0" applyFont="1" applyFill="1" applyBorder="1"/>
    <xf numFmtId="9" fontId="0" fillId="5" borderId="6" xfId="0" applyNumberFormat="1" applyFill="1" applyBorder="1"/>
    <xf numFmtId="0" fontId="0" fillId="3" borderId="4" xfId="0" applyFill="1" applyBorder="1"/>
    <xf numFmtId="0" fontId="0" fillId="3" borderId="5" xfId="0" applyFill="1" applyBorder="1"/>
    <xf numFmtId="0" fontId="4" fillId="3" borderId="5" xfId="0" applyFont="1" applyFill="1" applyBorder="1"/>
    <xf numFmtId="9" fontId="0" fillId="3" borderId="6" xfId="0" applyNumberFormat="1" applyFill="1" applyBorder="1"/>
    <xf numFmtId="0" fontId="5" fillId="2" borderId="4" xfId="0" applyFont="1" applyFill="1" applyBorder="1"/>
    <xf numFmtId="0" fontId="5" fillId="2" borderId="5" xfId="0" applyFont="1" applyFill="1" applyBorder="1"/>
    <xf numFmtId="0" fontId="6" fillId="2" borderId="5" xfId="0" applyFont="1" applyFill="1" applyBorder="1"/>
    <xf numFmtId="9" fontId="5" fillId="2" borderId="6" xfId="0" applyNumberFormat="1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9" fontId="3" fillId="4" borderId="3" xfId="0" applyNumberFormat="1" applyFont="1" applyFill="1" applyBorder="1"/>
    <xf numFmtId="0" fontId="3" fillId="4" borderId="4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left"/>
    </xf>
    <xf numFmtId="0" fontId="1" fillId="0" borderId="0" xfId="0" applyFont="1" applyFill="1" applyBorder="1"/>
    <xf numFmtId="15" fontId="2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DC5-1017-4F47-98FE-7C412D798E15}">
  <sheetPr codeName="wsMain"/>
  <dimension ref="A1:E18"/>
  <sheetViews>
    <sheetView zoomScale="150" zoomScaleNormal="150" workbookViewId="0">
      <selection activeCell="E5" sqref="E5"/>
    </sheetView>
  </sheetViews>
  <sheetFormatPr defaultRowHeight="15" x14ac:dyDescent="0.25"/>
  <cols>
    <col min="1" max="1" width="16.28515625" bestFit="1" customWidth="1"/>
    <col min="2" max="2" width="11.140625" bestFit="1" customWidth="1"/>
    <col min="3" max="3" width="8.140625" customWidth="1"/>
    <col min="4" max="4" width="7.7109375" customWidth="1"/>
    <col min="5" max="5" width="9.85546875" customWidth="1"/>
    <col min="6" max="6" width="9.7109375" customWidth="1"/>
  </cols>
  <sheetData>
    <row r="1" spans="1:5" x14ac:dyDescent="0.25">
      <c r="A1" s="16" t="s">
        <v>16</v>
      </c>
      <c r="B1" s="17">
        <v>2024</v>
      </c>
      <c r="C1" s="17" t="s">
        <v>12</v>
      </c>
      <c r="D1" s="17" t="s">
        <v>11</v>
      </c>
      <c r="E1" s="18" t="s">
        <v>14</v>
      </c>
    </row>
    <row r="2" spans="1:5" x14ac:dyDescent="0.25">
      <c r="A2" s="1" t="s">
        <v>4</v>
      </c>
      <c r="B2" s="2" t="s">
        <v>8</v>
      </c>
      <c r="C2" s="3">
        <v>1000</v>
      </c>
      <c r="D2" s="2">
        <f>SUMIFS(Data!D:D,Data!B:B,Main!A2,Data!C:C,Main!B2)</f>
        <v>0</v>
      </c>
      <c r="E2" s="4">
        <f>(D2-C2)/C2</f>
        <v>-1</v>
      </c>
    </row>
    <row r="3" spans="1:5" x14ac:dyDescent="0.25">
      <c r="A3" s="5" t="s">
        <v>4</v>
      </c>
      <c r="B3" s="6" t="s">
        <v>9</v>
      </c>
      <c r="C3" s="7">
        <v>800</v>
      </c>
      <c r="D3" s="6">
        <f>SUMIFS(Data!D:D,Data!B:B,Main!A3,Data!C:C,Main!B3)</f>
        <v>0</v>
      </c>
      <c r="E3" s="8">
        <f t="shared" ref="E3:E16" si="0">(D3-C3)/C3</f>
        <v>-1</v>
      </c>
    </row>
    <row r="4" spans="1:5" x14ac:dyDescent="0.25">
      <c r="A4" s="1" t="s">
        <v>4</v>
      </c>
      <c r="B4" s="2" t="s">
        <v>10</v>
      </c>
      <c r="C4" s="3">
        <v>300</v>
      </c>
      <c r="D4" s="2">
        <f>SUMIFS(Data!D:D,Data!B:B,Main!A4,Data!C:C,Main!B4)</f>
        <v>0</v>
      </c>
      <c r="E4" s="4">
        <f t="shared" si="0"/>
        <v>-1</v>
      </c>
    </row>
    <row r="5" spans="1:5" x14ac:dyDescent="0.25">
      <c r="A5" s="9" t="s">
        <v>4</v>
      </c>
      <c r="B5" s="10" t="s">
        <v>13</v>
      </c>
      <c r="C5" s="11">
        <f>SUM(C2:C4)</f>
        <v>2100</v>
      </c>
      <c r="D5" s="11">
        <f>SUM(D2:D4)</f>
        <v>0</v>
      </c>
      <c r="E5" s="12">
        <f t="shared" si="0"/>
        <v>-1</v>
      </c>
    </row>
    <row r="6" spans="1:5" x14ac:dyDescent="0.25">
      <c r="A6" s="1" t="s">
        <v>5</v>
      </c>
      <c r="B6" s="2" t="s">
        <v>8</v>
      </c>
      <c r="C6" s="3">
        <v>400</v>
      </c>
      <c r="D6" s="2">
        <f>SUMIFS(Data!D:D,Data!B:B,Main!A6,Data!C:C,Main!B6)</f>
        <v>0</v>
      </c>
      <c r="E6" s="4">
        <f t="shared" si="0"/>
        <v>-1</v>
      </c>
    </row>
    <row r="7" spans="1:5" x14ac:dyDescent="0.25">
      <c r="A7" s="5" t="s">
        <v>5</v>
      </c>
      <c r="B7" s="6" t="s">
        <v>9</v>
      </c>
      <c r="C7" s="7">
        <v>1000</v>
      </c>
      <c r="D7" s="6">
        <f>SUMIFS(Data!D:D,Data!B:B,Main!A7,Data!C:C,Main!B7)</f>
        <v>0</v>
      </c>
      <c r="E7" s="8">
        <f t="shared" si="0"/>
        <v>-1</v>
      </c>
    </row>
    <row r="8" spans="1:5" x14ac:dyDescent="0.25">
      <c r="A8" s="1" t="s">
        <v>5</v>
      </c>
      <c r="B8" s="2" t="s">
        <v>10</v>
      </c>
      <c r="C8" s="3">
        <v>500</v>
      </c>
      <c r="D8" s="2">
        <f>SUMIFS(Data!D:D,Data!B:B,Main!A8,Data!C:C,Main!B8)</f>
        <v>0</v>
      </c>
      <c r="E8" s="4">
        <f t="shared" si="0"/>
        <v>-1</v>
      </c>
    </row>
    <row r="9" spans="1:5" x14ac:dyDescent="0.25">
      <c r="A9" s="9" t="s">
        <v>5</v>
      </c>
      <c r="B9" s="10" t="s">
        <v>13</v>
      </c>
      <c r="C9" s="11">
        <f>SUM(C6:C8)</f>
        <v>1900</v>
      </c>
      <c r="D9" s="11">
        <f>SUM(D6:D8)</f>
        <v>0</v>
      </c>
      <c r="E9" s="12">
        <f t="shared" si="0"/>
        <v>-1</v>
      </c>
    </row>
    <row r="10" spans="1:5" x14ac:dyDescent="0.25">
      <c r="A10" s="1" t="s">
        <v>6</v>
      </c>
      <c r="B10" s="2" t="s">
        <v>8</v>
      </c>
      <c r="C10" s="3">
        <v>800</v>
      </c>
      <c r="D10" s="2">
        <f>SUMIFS(Data!D:D,Data!B:B,Main!A10,Data!C:C,Main!B10)</f>
        <v>0</v>
      </c>
      <c r="E10" s="4">
        <f t="shared" si="0"/>
        <v>-1</v>
      </c>
    </row>
    <row r="11" spans="1:5" x14ac:dyDescent="0.25">
      <c r="A11" s="5" t="s">
        <v>6</v>
      </c>
      <c r="B11" s="6" t="s">
        <v>9</v>
      </c>
      <c r="C11" s="7">
        <v>450</v>
      </c>
      <c r="D11" s="6">
        <f>SUMIFS(Data!D:D,Data!B:B,Main!A11,Data!C:C,Main!B11)</f>
        <v>0</v>
      </c>
      <c r="E11" s="8">
        <f t="shared" si="0"/>
        <v>-1</v>
      </c>
    </row>
    <row r="12" spans="1:5" x14ac:dyDescent="0.25">
      <c r="A12" s="1" t="s">
        <v>6</v>
      </c>
      <c r="B12" s="2" t="s">
        <v>10</v>
      </c>
      <c r="C12" s="3">
        <v>500</v>
      </c>
      <c r="D12" s="2">
        <f>SUMIFS(Data!D:D,Data!B:B,Main!A12,Data!C:C,Main!B12)</f>
        <v>0</v>
      </c>
      <c r="E12" s="4">
        <f t="shared" si="0"/>
        <v>-1</v>
      </c>
    </row>
    <row r="13" spans="1:5" x14ac:dyDescent="0.25">
      <c r="A13" s="9" t="s">
        <v>6</v>
      </c>
      <c r="B13" s="10" t="s">
        <v>13</v>
      </c>
      <c r="C13" s="11">
        <f>SUM(C10:C12)</f>
        <v>1750</v>
      </c>
      <c r="D13" s="11">
        <f>SUM(D10:D12)</f>
        <v>0</v>
      </c>
      <c r="E13" s="12">
        <f t="shared" si="0"/>
        <v>-1</v>
      </c>
    </row>
    <row r="14" spans="1:5" x14ac:dyDescent="0.25">
      <c r="A14" s="1" t="s">
        <v>7</v>
      </c>
      <c r="B14" s="2" t="s">
        <v>8</v>
      </c>
      <c r="C14" s="3">
        <v>600</v>
      </c>
      <c r="D14" s="2">
        <f>SUMIFS(Data!D:D,Data!B:B,Main!A14,Data!C:C,Main!B14)</f>
        <v>0</v>
      </c>
      <c r="E14" s="4">
        <f t="shared" si="0"/>
        <v>-1</v>
      </c>
    </row>
    <row r="15" spans="1:5" x14ac:dyDescent="0.25">
      <c r="A15" s="5" t="s">
        <v>7</v>
      </c>
      <c r="B15" s="6" t="s">
        <v>9</v>
      </c>
      <c r="C15" s="7">
        <v>230</v>
      </c>
      <c r="D15" s="6">
        <f>SUMIFS(Data!D:D,Data!B:B,Main!A15,Data!C:C,Main!B15)</f>
        <v>0</v>
      </c>
      <c r="E15" s="8">
        <f t="shared" si="0"/>
        <v>-1</v>
      </c>
    </row>
    <row r="16" spans="1:5" x14ac:dyDescent="0.25">
      <c r="A16" s="1" t="s">
        <v>7</v>
      </c>
      <c r="B16" s="2" t="s">
        <v>10</v>
      </c>
      <c r="C16" s="3">
        <v>800</v>
      </c>
      <c r="D16" s="2">
        <f>SUMIFS(Data!D:D,Data!B:B,Main!A16,Data!C:C,Main!B16)</f>
        <v>0</v>
      </c>
      <c r="E16" s="4">
        <f t="shared" si="0"/>
        <v>-1</v>
      </c>
    </row>
    <row r="17" spans="1:5" x14ac:dyDescent="0.25">
      <c r="A17" s="9" t="s">
        <v>7</v>
      </c>
      <c r="B17" s="10" t="s">
        <v>13</v>
      </c>
      <c r="C17" s="11">
        <f>SUM(C14:C16)</f>
        <v>1630</v>
      </c>
      <c r="D17" s="11">
        <f>SUM(D14:D16)</f>
        <v>0</v>
      </c>
      <c r="E17" s="12">
        <f>(D17-C17)/C17</f>
        <v>-1</v>
      </c>
    </row>
    <row r="18" spans="1:5" x14ac:dyDescent="0.25">
      <c r="A18" s="13" t="s">
        <v>15</v>
      </c>
      <c r="B18" s="14" t="s">
        <v>13</v>
      </c>
      <c r="C18" s="14">
        <f>C5+C9+C13+C17</f>
        <v>7380</v>
      </c>
      <c r="D18" s="14">
        <f>D5+D9+D13+D17</f>
        <v>0</v>
      </c>
      <c r="E18" s="15">
        <f>(D18-C18)/C18</f>
        <v>-1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7289-DCB1-4317-A92D-144F186747EF}">
  <sheetPr codeName="wsData"/>
  <dimension ref="A1:D18"/>
  <sheetViews>
    <sheetView zoomScale="150" zoomScaleNormal="150" workbookViewId="0">
      <selection activeCell="I14" sqref="I14"/>
    </sheetView>
  </sheetViews>
  <sheetFormatPr defaultRowHeight="15" x14ac:dyDescent="0.25"/>
  <cols>
    <col min="1" max="1" width="9.5703125" bestFit="1" customWidth="1"/>
    <col min="2" max="2" width="15.5703125" bestFit="1" customWidth="1"/>
    <col min="3" max="3" width="11.140625" bestFit="1" customWidth="1"/>
    <col min="4" max="4" width="15.140625" customWidth="1"/>
  </cols>
  <sheetData>
    <row r="1" spans="1:4" x14ac:dyDescent="0.25">
      <c r="A1" s="19" t="s">
        <v>0</v>
      </c>
      <c r="B1" s="19" t="s">
        <v>1</v>
      </c>
      <c r="C1" s="19" t="s">
        <v>2</v>
      </c>
      <c r="D1" s="19" t="s">
        <v>3</v>
      </c>
    </row>
    <row r="2" spans="1:4" x14ac:dyDescent="0.25">
      <c r="A2" s="20"/>
      <c r="B2" s="21"/>
      <c r="C2" s="21"/>
      <c r="D2" s="21"/>
    </row>
    <row r="3" spans="1:4" x14ac:dyDescent="0.25">
      <c r="A3" s="20"/>
      <c r="B3" s="21"/>
      <c r="C3" s="21"/>
      <c r="D3" s="21"/>
    </row>
    <row r="4" spans="1:4" x14ac:dyDescent="0.25">
      <c r="A4" s="20"/>
      <c r="B4" s="21"/>
      <c r="C4" s="21"/>
      <c r="D4" s="21"/>
    </row>
    <row r="5" spans="1:4" x14ac:dyDescent="0.25">
      <c r="A5" s="20"/>
      <c r="B5" s="21"/>
      <c r="C5" s="21"/>
      <c r="D5" s="21"/>
    </row>
    <row r="6" spans="1:4" x14ac:dyDescent="0.25">
      <c r="A6" s="20"/>
      <c r="B6" s="21"/>
      <c r="C6" s="21"/>
      <c r="D6" s="21"/>
    </row>
    <row r="7" spans="1:4" x14ac:dyDescent="0.25">
      <c r="A7" s="20"/>
      <c r="B7" s="21"/>
      <c r="C7" s="21"/>
      <c r="D7" s="21"/>
    </row>
    <row r="8" spans="1:4" x14ac:dyDescent="0.25">
      <c r="A8" s="20"/>
      <c r="B8" s="21"/>
      <c r="C8" s="21"/>
      <c r="D8" s="21"/>
    </row>
    <row r="9" spans="1:4" x14ac:dyDescent="0.25">
      <c r="A9" s="20"/>
      <c r="B9" s="21"/>
      <c r="C9" s="21"/>
      <c r="D9" s="21"/>
    </row>
    <row r="10" spans="1:4" x14ac:dyDescent="0.25">
      <c r="A10" s="20"/>
      <c r="B10" s="21"/>
      <c r="C10" s="21"/>
      <c r="D10" s="21"/>
    </row>
    <row r="11" spans="1:4" x14ac:dyDescent="0.25">
      <c r="A11" s="20"/>
      <c r="B11" s="21"/>
      <c r="C11" s="21"/>
      <c r="D11" s="21"/>
    </row>
    <row r="12" spans="1:4" x14ac:dyDescent="0.25">
      <c r="A12" s="20"/>
      <c r="B12" s="21"/>
      <c r="C12" s="21"/>
      <c r="D12" s="21"/>
    </row>
    <row r="13" spans="1:4" x14ac:dyDescent="0.25">
      <c r="A13" s="20"/>
      <c r="B13" s="21"/>
      <c r="C13" s="21"/>
      <c r="D13" s="21"/>
    </row>
    <row r="14" spans="1:4" x14ac:dyDescent="0.25">
      <c r="A14" s="20"/>
      <c r="B14" s="21"/>
      <c r="C14" s="21"/>
      <c r="D14" s="21"/>
    </row>
    <row r="15" spans="1:4" x14ac:dyDescent="0.25">
      <c r="A15" s="20"/>
      <c r="B15" s="21"/>
      <c r="C15" s="21"/>
      <c r="D15" s="21"/>
    </row>
    <row r="16" spans="1:4" x14ac:dyDescent="0.25">
      <c r="A16" s="20"/>
      <c r="B16" s="21"/>
      <c r="C16" s="21"/>
      <c r="D16" s="21"/>
    </row>
    <row r="17" spans="1:4" x14ac:dyDescent="0.25">
      <c r="A17" s="20"/>
      <c r="B17" s="21"/>
      <c r="C17" s="21"/>
      <c r="D17" s="21"/>
    </row>
    <row r="18" spans="1:4" x14ac:dyDescent="0.25">
      <c r="A18" s="20"/>
      <c r="B18" s="21"/>
      <c r="C18" s="21"/>
      <c r="D18" s="2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63EF9-37D2-466D-A9CB-0A0205660BAA}">
  <sheetPr codeName="wsStores"/>
  <dimension ref="A1:B5"/>
  <sheetViews>
    <sheetView zoomScale="150" zoomScaleNormal="150" workbookViewId="0"/>
  </sheetViews>
  <sheetFormatPr defaultRowHeight="15" x14ac:dyDescent="0.25"/>
  <cols>
    <col min="1" max="1" width="15.7109375" bestFit="1" customWidth="1"/>
    <col min="2" max="2" width="13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t="s">
        <v>4</v>
      </c>
      <c r="B2">
        <v>5</v>
      </c>
    </row>
    <row r="3" spans="1:2" x14ac:dyDescent="0.25">
      <c r="A3" t="s">
        <v>5</v>
      </c>
      <c r="B3">
        <v>9</v>
      </c>
    </row>
    <row r="4" spans="1:2" x14ac:dyDescent="0.25">
      <c r="A4" t="s">
        <v>6</v>
      </c>
      <c r="B4">
        <v>13</v>
      </c>
    </row>
    <row r="5" spans="1:2" x14ac:dyDescent="0.25">
      <c r="A5" t="s">
        <v>7</v>
      </c>
      <c r="B5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FE0FF-6926-446F-A0BB-B43B55A4A9A3}">
  <dimension ref="A2:G18"/>
  <sheetViews>
    <sheetView tabSelected="1" zoomScale="150" zoomScaleNormal="150" workbookViewId="0">
      <selection activeCell="F7" sqref="F7"/>
    </sheetView>
  </sheetViews>
  <sheetFormatPr defaultRowHeight="15" x14ac:dyDescent="0.25"/>
  <cols>
    <col min="1" max="1" width="9.5703125" style="22" bestFit="1" customWidth="1"/>
    <col min="2" max="2" width="15.7109375" style="22" bestFit="1" customWidth="1"/>
    <col min="3" max="3" width="11.140625" style="22" bestFit="1" customWidth="1"/>
    <col min="4" max="4" width="4" style="22" bestFit="1" customWidth="1"/>
    <col min="5" max="7" width="9.140625" style="22"/>
  </cols>
  <sheetData>
    <row r="2" spans="1:4" x14ac:dyDescent="0.25">
      <c r="A2" s="20">
        <v>45323</v>
      </c>
      <c r="B2" s="21" t="s">
        <v>4</v>
      </c>
      <c r="C2" s="21" t="s">
        <v>8</v>
      </c>
      <c r="D2" s="21">
        <v>960</v>
      </c>
    </row>
    <row r="3" spans="1:4" x14ac:dyDescent="0.25">
      <c r="A3" s="20">
        <v>45323</v>
      </c>
      <c r="B3" s="21" t="s">
        <v>5</v>
      </c>
      <c r="C3" s="21" t="s">
        <v>10</v>
      </c>
      <c r="D3" s="21">
        <v>510</v>
      </c>
    </row>
    <row r="4" spans="1:4" x14ac:dyDescent="0.25">
      <c r="A4" s="20">
        <v>45323</v>
      </c>
      <c r="B4" s="21" t="s">
        <v>6</v>
      </c>
      <c r="C4" s="21" t="s">
        <v>9</v>
      </c>
      <c r="D4" s="21">
        <v>112</v>
      </c>
    </row>
    <row r="5" spans="1:4" x14ac:dyDescent="0.25">
      <c r="A5" s="20">
        <v>45323</v>
      </c>
      <c r="B5" s="21" t="s">
        <v>7</v>
      </c>
      <c r="C5" s="21" t="s">
        <v>8</v>
      </c>
      <c r="D5" s="21">
        <v>321</v>
      </c>
    </row>
    <row r="6" spans="1:4" x14ac:dyDescent="0.25">
      <c r="A6" s="20">
        <v>45329</v>
      </c>
      <c r="B6" s="21" t="s">
        <v>4</v>
      </c>
      <c r="C6" s="21" t="s">
        <v>9</v>
      </c>
      <c r="D6" s="21">
        <v>259</v>
      </c>
    </row>
    <row r="7" spans="1:4" x14ac:dyDescent="0.25">
      <c r="A7" s="20">
        <v>45329</v>
      </c>
      <c r="B7" s="21" t="s">
        <v>5</v>
      </c>
      <c r="C7" s="21" t="s">
        <v>8</v>
      </c>
      <c r="D7" s="21">
        <v>348</v>
      </c>
    </row>
    <row r="8" spans="1:4" x14ac:dyDescent="0.25">
      <c r="A8" s="20">
        <v>45329</v>
      </c>
      <c r="B8" s="21" t="s">
        <v>6</v>
      </c>
      <c r="C8" s="21" t="s">
        <v>8</v>
      </c>
      <c r="D8" s="21">
        <v>190</v>
      </c>
    </row>
    <row r="9" spans="1:4" x14ac:dyDescent="0.25">
      <c r="A9" s="20">
        <v>45329</v>
      </c>
      <c r="B9" s="21" t="s">
        <v>5</v>
      </c>
      <c r="C9" s="21" t="s">
        <v>9</v>
      </c>
      <c r="D9" s="21">
        <v>611</v>
      </c>
    </row>
    <row r="10" spans="1:4" x14ac:dyDescent="0.25">
      <c r="A10" s="20">
        <v>45336</v>
      </c>
      <c r="B10" s="21" t="s">
        <v>6</v>
      </c>
      <c r="C10" s="21" t="s">
        <v>8</v>
      </c>
      <c r="D10" s="21">
        <v>711</v>
      </c>
    </row>
    <row r="11" spans="1:4" x14ac:dyDescent="0.25">
      <c r="A11" s="20">
        <v>45336</v>
      </c>
      <c r="B11" s="21" t="s">
        <v>4</v>
      </c>
      <c r="C11" s="21" t="s">
        <v>10</v>
      </c>
      <c r="D11" s="21">
        <v>452</v>
      </c>
    </row>
    <row r="12" spans="1:4" x14ac:dyDescent="0.25">
      <c r="A12" s="20">
        <v>45336</v>
      </c>
      <c r="B12" s="21" t="s">
        <v>5</v>
      </c>
      <c r="C12" s="21" t="s">
        <v>9</v>
      </c>
      <c r="D12" s="21">
        <v>198</v>
      </c>
    </row>
    <row r="13" spans="1:4" x14ac:dyDescent="0.25">
      <c r="A13" s="20">
        <v>45342</v>
      </c>
      <c r="B13" s="21" t="s">
        <v>7</v>
      </c>
      <c r="C13" s="21" t="s">
        <v>10</v>
      </c>
      <c r="D13" s="21">
        <v>845</v>
      </c>
    </row>
    <row r="14" spans="1:4" x14ac:dyDescent="0.25">
      <c r="A14" s="20">
        <v>45342</v>
      </c>
      <c r="B14" s="21" t="s">
        <v>6</v>
      </c>
      <c r="C14" s="21" t="s">
        <v>10</v>
      </c>
      <c r="D14" s="21">
        <v>499</v>
      </c>
    </row>
    <row r="15" spans="1:4" x14ac:dyDescent="0.25">
      <c r="A15" s="20">
        <v>45350</v>
      </c>
      <c r="B15" s="21" t="s">
        <v>5</v>
      </c>
      <c r="C15" s="21" t="s">
        <v>9</v>
      </c>
      <c r="D15" s="21">
        <v>437</v>
      </c>
    </row>
    <row r="16" spans="1:4" x14ac:dyDescent="0.25">
      <c r="A16" s="20">
        <v>45350</v>
      </c>
      <c r="B16" s="21" t="s">
        <v>4</v>
      </c>
      <c r="C16" s="21" t="s">
        <v>9</v>
      </c>
      <c r="D16" s="21">
        <v>648</v>
      </c>
    </row>
    <row r="17" spans="1:4" x14ac:dyDescent="0.25">
      <c r="A17" s="20">
        <v>45350</v>
      </c>
      <c r="B17" s="21" t="s">
        <v>7</v>
      </c>
      <c r="C17" s="21" t="s">
        <v>10</v>
      </c>
      <c r="D17" s="21">
        <v>419</v>
      </c>
    </row>
    <row r="18" spans="1:4" x14ac:dyDescent="0.25">
      <c r="A18" s="20">
        <v>45350</v>
      </c>
      <c r="B18" s="21" t="s">
        <v>7</v>
      </c>
      <c r="C18" s="21" t="s">
        <v>9</v>
      </c>
      <c r="D18" s="21">
        <v>815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Data</vt:lpstr>
      <vt:lpstr>Stores</vt:lpstr>
      <vt:lpstr>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ashvin chemburker</dc:creator>
  <cp:lastModifiedBy>ashvin chemburker</cp:lastModifiedBy>
  <dcterms:created xsi:type="dcterms:W3CDTF">2024-02-18T09:50:41Z</dcterms:created>
  <dcterms:modified xsi:type="dcterms:W3CDTF">2024-02-21T22:36:53Z</dcterms:modified>
</cp:coreProperties>
</file>