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Youtube\Current\Feb 24\Powerpoint\Build\"/>
    </mc:Choice>
  </mc:AlternateContent>
  <xr:revisionPtr revIDLastSave="0" documentId="13_ncr:1_{3F13D490-7CD0-4BF3-B774-39D28EA1C8E3}" xr6:coauthVersionLast="47" xr6:coauthVersionMax="47" xr10:uidLastSave="{00000000-0000-0000-0000-000000000000}"/>
  <bookViews>
    <workbookView xWindow="-120" yWindow="-120" windowWidth="29040" windowHeight="15720" xr2:uid="{A1CF4A79-3291-4796-A747-0A4BAC765D90}"/>
  </bookViews>
  <sheets>
    <sheet name="Main" sheetId="1" r:id="rId1"/>
    <sheet name="ProductCharts" sheetId="12" r:id="rId2"/>
    <sheet name="Data" sheetId="3" r:id="rId3"/>
    <sheet name="Stores" sheetId="10" r:id="rId4"/>
    <sheet name="Paste" sheetId="11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" l="1"/>
  <c r="D15" i="1"/>
  <c r="E15" i="1" s="1"/>
  <c r="D14" i="1"/>
  <c r="E14" i="1" s="1"/>
  <c r="D12" i="1"/>
  <c r="E12" i="1" s="1"/>
  <c r="D11" i="1"/>
  <c r="E11" i="1" s="1"/>
  <c r="D10" i="1"/>
  <c r="D8" i="1"/>
  <c r="E8" i="1" s="1"/>
  <c r="D7" i="1"/>
  <c r="E7" i="1" s="1"/>
  <c r="D6" i="1"/>
  <c r="D4" i="1"/>
  <c r="E4" i="1" s="1"/>
  <c r="D3" i="1"/>
  <c r="E3" i="1" s="1"/>
  <c r="D2" i="1"/>
  <c r="E2" i="1" s="1"/>
  <c r="C17" i="1"/>
  <c r="C13" i="1"/>
  <c r="C9" i="1"/>
  <c r="C5" i="1"/>
  <c r="C18" i="1" l="1"/>
  <c r="D13" i="1"/>
  <c r="E13" i="1" s="1"/>
  <c r="D9" i="1"/>
  <c r="E9" i="1" s="1"/>
  <c r="D5" i="1"/>
  <c r="E5" i="1" s="1"/>
  <c r="D17" i="1"/>
  <c r="E17" i="1" s="1"/>
  <c r="E16" i="1"/>
  <c r="E6" i="1"/>
  <c r="E10" i="1"/>
  <c r="D18" i="1" l="1"/>
  <c r="E18" i="1" s="1"/>
</calcChain>
</file>

<file path=xl/sharedStrings.xml><?xml version="1.0" encoding="utf-8"?>
<sst xmlns="http://schemas.openxmlformats.org/spreadsheetml/2006/main" count="123" uniqueCount="20">
  <si>
    <t>Date</t>
  </si>
  <si>
    <t>Store</t>
  </si>
  <si>
    <t>Product</t>
  </si>
  <si>
    <t>Units Sold</t>
  </si>
  <si>
    <t>North Point Mart</t>
  </si>
  <si>
    <t>South Point Mart</t>
  </si>
  <si>
    <t>East Point Mart</t>
  </si>
  <si>
    <t>West Point Mart</t>
  </si>
  <si>
    <t>Jam</t>
  </si>
  <si>
    <t>Marmalade</t>
  </si>
  <si>
    <t>Chutney</t>
  </si>
  <si>
    <t>Actual</t>
  </si>
  <si>
    <t>Budget</t>
  </si>
  <si>
    <t>Total</t>
  </si>
  <si>
    <t>Variance</t>
  </si>
  <si>
    <t>All Stores</t>
  </si>
  <si>
    <t>February</t>
  </si>
  <si>
    <t>Stores</t>
  </si>
  <si>
    <t>Total Variance</t>
  </si>
  <si>
    <t>Sum of Units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</si>
</sst>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theme="5" tint="-0.24997711111789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5" borderId="4" xfId="0" applyFill="1" applyBorder="1"/>
    <xf numFmtId="0" fontId="0" fillId="5" borderId="5" xfId="0" applyFill="1" applyBorder="1"/>
    <xf numFmtId="0" fontId="4" fillId="5" borderId="5" xfId="0" applyFont="1" applyFill="1" applyBorder="1"/>
    <xf numFmtId="9" fontId="0" fillId="5" borderId="6" xfId="0" applyNumberFormat="1" applyFill="1" applyBorder="1"/>
    <xf numFmtId="0" fontId="0" fillId="3" borderId="4" xfId="0" applyFill="1" applyBorder="1"/>
    <xf numFmtId="0" fontId="0" fillId="3" borderId="5" xfId="0" applyFill="1" applyBorder="1"/>
    <xf numFmtId="0" fontId="4" fillId="3" borderId="5" xfId="0" applyFont="1" applyFill="1" applyBorder="1"/>
    <xf numFmtId="9" fontId="0" fillId="3" borderId="6" xfId="0" applyNumberFormat="1" applyFill="1" applyBorder="1"/>
    <xf numFmtId="0" fontId="5" fillId="2" borderId="4" xfId="0" applyFont="1" applyFill="1" applyBorder="1"/>
    <xf numFmtId="0" fontId="5" fillId="2" borderId="5" xfId="0" applyFont="1" applyFill="1" applyBorder="1"/>
    <xf numFmtId="0" fontId="6" fillId="2" borderId="5" xfId="0" applyFont="1" applyFill="1" applyBorder="1"/>
    <xf numFmtId="9" fontId="5" fillId="2" borderId="6" xfId="0" applyNumberFormat="1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9" fontId="3" fillId="4" borderId="3" xfId="0" applyNumberFormat="1" applyFont="1" applyFill="1" applyBorder="1"/>
    <xf numFmtId="0" fontId="3" fillId="4" borderId="4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left"/>
    </xf>
    <xf numFmtId="0" fontId="1" fillId="0" borderId="0" xfId="0" applyFont="1"/>
    <xf numFmtId="15" fontId="2" fillId="0" borderId="0" xfId="0" applyNumberFormat="1" applyFont="1"/>
    <xf numFmtId="0" fontId="2" fillId="0" borderId="0" xfId="0" applyFont="1"/>
    <xf numFmtId="0" fontId="0" fillId="0" borderId="0" xfId="0" pivotButton="1"/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0" formatCode="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[PowerPoint Slide Generator - Post Setup.xlsm]ProductCharts!pvtProducts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Sum of Units Sold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ProductCharts!$B$3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ProductCharts!$A$4:$A$6</c:f>
              <c:strCache>
                <c:ptCount val="3"/>
                <c:pt idx="0">
                  <c:v>Chutney</c:v>
                </c:pt>
                <c:pt idx="1">
                  <c:v>Jam</c:v>
                </c:pt>
                <c:pt idx="2">
                  <c:v>Marmalade</c:v>
                </c:pt>
              </c:strCache>
            </c:strRef>
          </c:cat>
          <c:val>
            <c:numRef>
              <c:f>ProductCharts!$B$4:$B$6</c:f>
              <c:numCache>
                <c:formatCode>General</c:formatCode>
                <c:ptCount val="3"/>
                <c:pt idx="0">
                  <c:v>1264</c:v>
                </c:pt>
                <c:pt idx="1">
                  <c:v>321</c:v>
                </c:pt>
                <c:pt idx="2">
                  <c:v>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C-4218-93A2-392EBFAEC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4507648"/>
        <c:axId val="1004629936"/>
      </c:barChart>
      <c:catAx>
        <c:axId val="56450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629936"/>
        <c:crosses val="autoZero"/>
        <c:auto val="1"/>
        <c:lblAlgn val="ctr"/>
        <c:lblOffset val="100"/>
        <c:noMultiLvlLbl val="0"/>
      </c:catAx>
      <c:valAx>
        <c:axId val="100462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0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492125</xdr:colOff>
      <xdr:row>6</xdr:row>
      <xdr:rowOff>33337</xdr:rowOff>
    </xdr:from>
    <xdr:to>
      <xdr:col>11</xdr:col>
      <xdr:colOff>187325</xdr:colOff>
      <xdr:row>20</xdr:row>
      <xdr:rowOff>109537</xdr:rowOff>
    </xdr:to>
    <xdr:graphicFrame macro="">
      <xdr:nvGraphicFramePr>
        <xdr:cNvPr id="2" name="chrtProducts">
          <a:extLst>
            <a:ext uri="{FF2B5EF4-FFF2-40B4-BE49-F238E27FC236}">
              <a16:creationId xmlns:a16="http://schemas.microsoft.com/office/drawing/2014/main" id="{D17CF87E-E889-3678-F7E6-0DB4BAC701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hvin chemburker" refreshedDate="45346.041500925923" createdVersion="8" refreshedVersion="8" minRefreshableVersion="3" recordCount="17" xr:uid="{42B2DAE1-A07F-4E28-95CE-CADDF074A541}">
  <cacheSource type="worksheet">
    <worksheetSource name="Table1"/>
  </cacheSource>
  <cacheFields count="4">
    <cacheField name="Date" numFmtId="15">
      <sharedItems containsSemiMixedTypes="0" containsNonDate="0" containsDate="1" containsString="0" minDate="2024-02-01T00:00:00" maxDate="2024-02-29T00:00:00"/>
    </cacheField>
    <cacheField name="Store" numFmtId="0">
      <sharedItems count="4">
        <s v="North Point Mart"/>
        <s v="South Point Mart"/>
        <s v="East Point Mart"/>
        <s v="West Point Mart"/>
      </sharedItems>
    </cacheField>
    <cacheField name="Product" numFmtId="0">
      <sharedItems count="3">
        <s v="Jam"/>
        <s v="Chutney"/>
        <s v="Marmalade"/>
      </sharedItems>
    </cacheField>
    <cacheField name="Units Sold" numFmtId="0">
      <sharedItems containsSemiMixedTypes="0" containsString="0" containsNumber="1" containsInteger="1" minValue="112" maxValue="9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d v="2024-02-01T00:00:00"/>
    <x v="0"/>
    <x v="0"/>
    <n v="960"/>
  </r>
  <r>
    <d v="2024-02-01T00:00:00"/>
    <x v="1"/>
    <x v="1"/>
    <n v="510"/>
  </r>
  <r>
    <d v="2024-02-01T00:00:00"/>
    <x v="2"/>
    <x v="2"/>
    <n v="112"/>
  </r>
  <r>
    <d v="2024-02-01T00:00:00"/>
    <x v="3"/>
    <x v="0"/>
    <n v="321"/>
  </r>
  <r>
    <d v="2024-02-07T00:00:00"/>
    <x v="0"/>
    <x v="2"/>
    <n v="259"/>
  </r>
  <r>
    <d v="2024-02-07T00:00:00"/>
    <x v="1"/>
    <x v="0"/>
    <n v="348"/>
  </r>
  <r>
    <d v="2024-02-07T00:00:00"/>
    <x v="2"/>
    <x v="0"/>
    <n v="190"/>
  </r>
  <r>
    <d v="2024-02-07T00:00:00"/>
    <x v="1"/>
    <x v="2"/>
    <n v="611"/>
  </r>
  <r>
    <d v="2024-02-14T00:00:00"/>
    <x v="2"/>
    <x v="0"/>
    <n v="711"/>
  </r>
  <r>
    <d v="2024-02-14T00:00:00"/>
    <x v="0"/>
    <x v="1"/>
    <n v="452"/>
  </r>
  <r>
    <d v="2024-02-14T00:00:00"/>
    <x v="1"/>
    <x v="2"/>
    <n v="198"/>
  </r>
  <r>
    <d v="2024-02-20T00:00:00"/>
    <x v="3"/>
    <x v="1"/>
    <n v="845"/>
  </r>
  <r>
    <d v="2024-02-20T00:00:00"/>
    <x v="2"/>
    <x v="1"/>
    <n v="499"/>
  </r>
  <r>
    <d v="2024-02-28T00:00:00"/>
    <x v="1"/>
    <x v="2"/>
    <n v="437"/>
  </r>
  <r>
    <d v="2024-02-28T00:00:00"/>
    <x v="0"/>
    <x v="2"/>
    <n v="648"/>
  </r>
  <r>
    <d v="2024-02-28T00:00:00"/>
    <x v="3"/>
    <x v="1"/>
    <n v="419"/>
  </r>
  <r>
    <d v="2024-02-28T00:00:00"/>
    <x v="3"/>
    <x v="2"/>
    <n v="8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05EC9-185A-4D89-8737-775871615519}" name="pvtProducts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25">
  <location ref="A3:B6" firstHeaderRow="1" firstDataRow="1" firstDataCol="1" rowPageCount="1" colPageCount="1"/>
  <pivotFields count="4">
    <pivotField compact="0" numFmtId="1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2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1"/>
    </i>
    <i>
      <x v="2"/>
    </i>
  </rowItems>
  <colItems count="1">
    <i/>
  </colItems>
  <pageFields count="1">
    <pageField fld="1" item="3" hier="-1"/>
  </pageFields>
  <dataFields count="1">
    <dataField name="Sum of Units Sold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3D1BAE-3E8E-494C-B284-6DFFF1AC3F6A}" name="Table1" displayName="Table1" ref="A1:D18" totalsRowShown="0" headerRowDxfId="5" dataDxfId="4">
  <autoFilter ref="A1:D18" xr:uid="{723D1BAE-3E8E-494C-B284-6DFFF1AC3F6A}"/>
  <tableColumns count="4">
    <tableColumn id="1" xr3:uid="{D2E79F72-C9A1-49CA-A2D7-CBF148EAB003}" name="Date" dataDxfId="3"/>
    <tableColumn id="2" xr3:uid="{4F54CB45-D46D-45DD-AFCA-E5850B7AA5C7}" name="Store" dataDxfId="2"/>
    <tableColumn id="3" xr3:uid="{D76F36BC-8F1A-4B2C-BC9D-F8C150B060BA}" name="Product" dataDxfId="1"/>
    <tableColumn id="4" xr3:uid="{5A7B2005-CC4C-4AB4-87C6-4FD121FD9429}" name="Units Sol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DC5-1017-4F47-98FE-7C412D798E15}">
  <sheetPr codeName="wsMain"/>
  <dimension ref="A1:E18"/>
  <sheetViews>
    <sheetView tabSelected="1" zoomScale="150" zoomScaleNormal="150" workbookViewId="0">
      <selection activeCell="A17" sqref="A17:XFD17"/>
    </sheetView>
  </sheetViews>
  <sheetFormatPr defaultRowHeight="15" x14ac:dyDescent="0.25"/>
  <cols>
    <col min="1" max="1" width="16.28515625" bestFit="1" customWidth="1"/>
    <col min="2" max="2" width="11.140625" bestFit="1" customWidth="1"/>
    <col min="3" max="3" width="8.140625" customWidth="1"/>
    <col min="4" max="4" width="7.7109375" customWidth="1"/>
    <col min="5" max="5" width="9.85546875" customWidth="1"/>
    <col min="6" max="6" width="9.7109375" customWidth="1"/>
  </cols>
  <sheetData>
    <row r="1" spans="1:5" x14ac:dyDescent="0.25">
      <c r="A1" s="16" t="s">
        <v>16</v>
      </c>
      <c r="B1" s="17">
        <v>2024</v>
      </c>
      <c r="C1" s="17" t="s">
        <v>12</v>
      </c>
      <c r="D1" s="17" t="s">
        <v>11</v>
      </c>
      <c r="E1" s="18" t="s">
        <v>14</v>
      </c>
    </row>
    <row r="2" spans="1:5" x14ac:dyDescent="0.25">
      <c r="A2" s="1" t="s">
        <v>4</v>
      </c>
      <c r="B2" s="2" t="s">
        <v>8</v>
      </c>
      <c r="C2" s="3">
        <v>1000</v>
      </c>
      <c r="D2" s="2">
        <f>SUMIFS(Data!D:D,Data!B:B,Main!A2,Data!C:C,Main!B2)</f>
        <v>960</v>
      </c>
      <c r="E2" s="4">
        <f>(D2-C2)/C2</f>
        <v>-0.04</v>
      </c>
    </row>
    <row r="3" spans="1:5" x14ac:dyDescent="0.25">
      <c r="A3" s="5" t="s">
        <v>4</v>
      </c>
      <c r="B3" s="6" t="s">
        <v>9</v>
      </c>
      <c r="C3" s="7">
        <v>800</v>
      </c>
      <c r="D3" s="6">
        <f>SUMIFS(Data!D:D,Data!B:B,Main!A3,Data!C:C,Main!B3)</f>
        <v>907</v>
      </c>
      <c r="E3" s="8">
        <f t="shared" ref="E3:E16" si="0">(D3-C3)/C3</f>
        <v>0.13375000000000001</v>
      </c>
    </row>
    <row r="4" spans="1:5" x14ac:dyDescent="0.25">
      <c r="A4" s="1" t="s">
        <v>4</v>
      </c>
      <c r="B4" s="2" t="s">
        <v>10</v>
      </c>
      <c r="C4" s="3">
        <v>300</v>
      </c>
      <c r="D4" s="2">
        <f>SUMIFS(Data!D:D,Data!B:B,Main!A4,Data!C:C,Main!B4)</f>
        <v>452</v>
      </c>
      <c r="E4" s="4">
        <f t="shared" si="0"/>
        <v>0.50666666666666671</v>
      </c>
    </row>
    <row r="5" spans="1:5" x14ac:dyDescent="0.25">
      <c r="A5" s="9" t="s">
        <v>4</v>
      </c>
      <c r="B5" s="10" t="s">
        <v>13</v>
      </c>
      <c r="C5" s="11">
        <f>SUM(C2:C4)</f>
        <v>2100</v>
      </c>
      <c r="D5" s="11">
        <f>SUM(D2:D4)</f>
        <v>2319</v>
      </c>
      <c r="E5" s="12">
        <f t="shared" si="0"/>
        <v>0.10428571428571429</v>
      </c>
    </row>
    <row r="6" spans="1:5" x14ac:dyDescent="0.25">
      <c r="A6" s="1" t="s">
        <v>5</v>
      </c>
      <c r="B6" s="2" t="s">
        <v>8</v>
      </c>
      <c r="C6" s="3">
        <v>400</v>
      </c>
      <c r="D6" s="2">
        <f>SUMIFS(Data!D:D,Data!B:B,Main!A6,Data!C:C,Main!B6)</f>
        <v>348</v>
      </c>
      <c r="E6" s="4">
        <f t="shared" si="0"/>
        <v>-0.13</v>
      </c>
    </row>
    <row r="7" spans="1:5" x14ac:dyDescent="0.25">
      <c r="A7" s="5" t="s">
        <v>5</v>
      </c>
      <c r="B7" s="6" t="s">
        <v>9</v>
      </c>
      <c r="C7" s="7">
        <v>1000</v>
      </c>
      <c r="D7" s="6">
        <f>SUMIFS(Data!D:D,Data!B:B,Main!A7,Data!C:C,Main!B7)</f>
        <v>1246</v>
      </c>
      <c r="E7" s="8">
        <f t="shared" si="0"/>
        <v>0.246</v>
      </c>
    </row>
    <row r="8" spans="1:5" x14ac:dyDescent="0.25">
      <c r="A8" s="1" t="s">
        <v>5</v>
      </c>
      <c r="B8" s="2" t="s">
        <v>10</v>
      </c>
      <c r="C8" s="3">
        <v>500</v>
      </c>
      <c r="D8" s="2">
        <f>SUMIFS(Data!D:D,Data!B:B,Main!A8,Data!C:C,Main!B8)</f>
        <v>510</v>
      </c>
      <c r="E8" s="4">
        <f t="shared" si="0"/>
        <v>0.02</v>
      </c>
    </row>
    <row r="9" spans="1:5" x14ac:dyDescent="0.25">
      <c r="A9" s="9" t="s">
        <v>5</v>
      </c>
      <c r="B9" s="10" t="s">
        <v>13</v>
      </c>
      <c r="C9" s="11">
        <f>SUM(C6:C8)</f>
        <v>1900</v>
      </c>
      <c r="D9" s="11">
        <f>SUM(D6:D8)</f>
        <v>2104</v>
      </c>
      <c r="E9" s="12">
        <f t="shared" si="0"/>
        <v>0.10736842105263159</v>
      </c>
    </row>
    <row r="10" spans="1:5" x14ac:dyDescent="0.25">
      <c r="A10" s="1" t="s">
        <v>6</v>
      </c>
      <c r="B10" s="2" t="s">
        <v>8</v>
      </c>
      <c r="C10" s="3">
        <v>800</v>
      </c>
      <c r="D10" s="2">
        <f>SUMIFS(Data!D:D,Data!B:B,Main!A10,Data!C:C,Main!B10)</f>
        <v>901</v>
      </c>
      <c r="E10" s="4">
        <f t="shared" si="0"/>
        <v>0.12625</v>
      </c>
    </row>
    <row r="11" spans="1:5" x14ac:dyDescent="0.25">
      <c r="A11" s="5" t="s">
        <v>6</v>
      </c>
      <c r="B11" s="6" t="s">
        <v>9</v>
      </c>
      <c r="C11" s="7">
        <v>450</v>
      </c>
      <c r="D11" s="6">
        <f>SUMIFS(Data!D:D,Data!B:B,Main!A11,Data!C:C,Main!B11)</f>
        <v>112</v>
      </c>
      <c r="E11" s="8">
        <f t="shared" si="0"/>
        <v>-0.75111111111111106</v>
      </c>
    </row>
    <row r="12" spans="1:5" x14ac:dyDescent="0.25">
      <c r="A12" s="1" t="s">
        <v>6</v>
      </c>
      <c r="B12" s="2" t="s">
        <v>10</v>
      </c>
      <c r="C12" s="3">
        <v>500</v>
      </c>
      <c r="D12" s="2">
        <f>SUMIFS(Data!D:D,Data!B:B,Main!A12,Data!C:C,Main!B12)</f>
        <v>499</v>
      </c>
      <c r="E12" s="4">
        <f t="shared" si="0"/>
        <v>-2E-3</v>
      </c>
    </row>
    <row r="13" spans="1:5" x14ac:dyDescent="0.25">
      <c r="A13" s="9" t="s">
        <v>6</v>
      </c>
      <c r="B13" s="10" t="s">
        <v>13</v>
      </c>
      <c r="C13" s="11">
        <f>SUM(C10:C12)</f>
        <v>1750</v>
      </c>
      <c r="D13" s="11">
        <f>SUM(D10:D12)</f>
        <v>1512</v>
      </c>
      <c r="E13" s="12">
        <f t="shared" si="0"/>
        <v>-0.13600000000000001</v>
      </c>
    </row>
    <row r="14" spans="1:5" x14ac:dyDescent="0.25">
      <c r="A14" s="1" t="s">
        <v>7</v>
      </c>
      <c r="B14" s="2" t="s">
        <v>8</v>
      </c>
      <c r="C14" s="3">
        <v>600</v>
      </c>
      <c r="D14" s="2">
        <f>SUMIFS(Data!D:D,Data!B:B,Main!A14,Data!C:C,Main!B14)</f>
        <v>321</v>
      </c>
      <c r="E14" s="4">
        <f t="shared" si="0"/>
        <v>-0.46500000000000002</v>
      </c>
    </row>
    <row r="15" spans="1:5" x14ac:dyDescent="0.25">
      <c r="A15" s="5" t="s">
        <v>7</v>
      </c>
      <c r="B15" s="6" t="s">
        <v>9</v>
      </c>
      <c r="C15" s="7">
        <v>230</v>
      </c>
      <c r="D15" s="6">
        <f>SUMIFS(Data!D:D,Data!B:B,Main!A15,Data!C:C,Main!B15)</f>
        <v>815</v>
      </c>
      <c r="E15" s="8">
        <f t="shared" si="0"/>
        <v>2.5434782608695654</v>
      </c>
    </row>
    <row r="16" spans="1:5" x14ac:dyDescent="0.25">
      <c r="A16" s="1" t="s">
        <v>7</v>
      </c>
      <c r="B16" s="2" t="s">
        <v>10</v>
      </c>
      <c r="C16" s="3">
        <v>800</v>
      </c>
      <c r="D16" s="2">
        <f>SUMIFS(Data!D:D,Data!B:B,Main!A16,Data!C:C,Main!B16)</f>
        <v>1264</v>
      </c>
      <c r="E16" s="4">
        <f t="shared" si="0"/>
        <v>0.57999999999999996</v>
      </c>
    </row>
    <row r="17" spans="1:5" x14ac:dyDescent="0.25">
      <c r="A17" s="9" t="s">
        <v>7</v>
      </c>
      <c r="B17" s="10" t="s">
        <v>13</v>
      </c>
      <c r="C17" s="11">
        <f>SUM(C14:C16)</f>
        <v>1630</v>
      </c>
      <c r="D17" s="11">
        <f>SUM(D14:D16)</f>
        <v>2400</v>
      </c>
      <c r="E17" s="12">
        <f>(D17-C17)/C17</f>
        <v>0.47239263803680981</v>
      </c>
    </row>
    <row r="18" spans="1:5" x14ac:dyDescent="0.25">
      <c r="A18" s="13" t="s">
        <v>15</v>
      </c>
      <c r="B18" s="14" t="s">
        <v>13</v>
      </c>
      <c r="C18" s="14">
        <f>C5+C9+C13+C17</f>
        <v>7380</v>
      </c>
      <c r="D18" s="14">
        <f>D5+D9+D13+D17</f>
        <v>8335</v>
      </c>
      <c r="E18" s="15">
        <f>(D18-C18)/C18</f>
        <v>0.12940379403794039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64F5C-6B01-4D4F-9D19-B6D21879131F}">
  <sheetPr codeName="wsCharts"/>
  <dimension ref="A1:B6"/>
  <sheetViews>
    <sheetView zoomScale="150" zoomScaleNormal="150" workbookViewId="0">
      <selection activeCell="C10" sqref="C10"/>
    </sheetView>
  </sheetViews>
  <sheetFormatPr defaultRowHeight="15" x14ac:dyDescent="0.25"/>
  <cols>
    <col min="1" max="1" width="11.140625" bestFit="1" customWidth="1"/>
    <col min="2" max="2" width="17.140625" bestFit="1" customWidth="1"/>
    <col min="3" max="3" width="17" bestFit="1" customWidth="1"/>
  </cols>
  <sheetData>
    <row r="1" spans="1:2" x14ac:dyDescent="0.25">
      <c r="A1" s="22" t="s">
        <v>1</v>
      </c>
      <c r="B1" t="s">
        <v>7</v>
      </c>
    </row>
    <row r="3" spans="1:2" x14ac:dyDescent="0.25">
      <c r="A3" s="22" t="s">
        <v>2</v>
      </c>
      <c r="B3" t="s">
        <v>19</v>
      </c>
    </row>
    <row r="4" spans="1:2" x14ac:dyDescent="0.25">
      <c r="A4" t="s">
        <v>10</v>
      </c>
      <c r="B4">
        <v>1264</v>
      </c>
    </row>
    <row r="5" spans="1:2" x14ac:dyDescent="0.25">
      <c r="A5" t="s">
        <v>8</v>
      </c>
      <c r="B5">
        <v>321</v>
      </c>
    </row>
    <row r="6" spans="1:2" x14ac:dyDescent="0.25">
      <c r="A6" t="s">
        <v>9</v>
      </c>
      <c r="B6">
        <v>815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7289-DCB1-4317-A92D-144F186747EF}">
  <sheetPr codeName="wsData"/>
  <dimension ref="A1:D18"/>
  <sheetViews>
    <sheetView zoomScale="150" zoomScaleNormal="150" workbookViewId="0">
      <selection activeCell="D15" sqref="D15"/>
    </sheetView>
  </sheetViews>
  <sheetFormatPr defaultRowHeight="15" x14ac:dyDescent="0.25"/>
  <cols>
    <col min="1" max="1" width="9.5703125" bestFit="1" customWidth="1"/>
    <col min="2" max="2" width="15.5703125" bestFit="1" customWidth="1"/>
    <col min="3" max="3" width="11.140625" bestFit="1" customWidth="1"/>
    <col min="4" max="4" width="15.140625" customWidth="1"/>
  </cols>
  <sheetData>
    <row r="1" spans="1:4" x14ac:dyDescent="0.25">
      <c r="A1" s="19" t="s">
        <v>0</v>
      </c>
      <c r="B1" s="19" t="s">
        <v>1</v>
      </c>
      <c r="C1" s="19" t="s">
        <v>2</v>
      </c>
      <c r="D1" s="19" t="s">
        <v>3</v>
      </c>
    </row>
    <row r="2" spans="1:4" x14ac:dyDescent="0.25">
      <c r="A2" s="20">
        <v>45323</v>
      </c>
      <c r="B2" s="21" t="s">
        <v>4</v>
      </c>
      <c r="C2" s="21" t="s">
        <v>8</v>
      </c>
      <c r="D2" s="21">
        <v>960</v>
      </c>
    </row>
    <row r="3" spans="1:4" x14ac:dyDescent="0.25">
      <c r="A3" s="20">
        <v>45323</v>
      </c>
      <c r="B3" s="21" t="s">
        <v>5</v>
      </c>
      <c r="C3" s="21" t="s">
        <v>10</v>
      </c>
      <c r="D3" s="21">
        <v>510</v>
      </c>
    </row>
    <row r="4" spans="1:4" x14ac:dyDescent="0.25">
      <c r="A4" s="20">
        <v>45323</v>
      </c>
      <c r="B4" s="21" t="s">
        <v>6</v>
      </c>
      <c r="C4" s="21" t="s">
        <v>9</v>
      </c>
      <c r="D4" s="21">
        <v>112</v>
      </c>
    </row>
    <row r="5" spans="1:4" x14ac:dyDescent="0.25">
      <c r="A5" s="20">
        <v>45323</v>
      </c>
      <c r="B5" s="21" t="s">
        <v>7</v>
      </c>
      <c r="C5" s="21" t="s">
        <v>8</v>
      </c>
      <c r="D5" s="21">
        <v>321</v>
      </c>
    </row>
    <row r="6" spans="1:4" x14ac:dyDescent="0.25">
      <c r="A6" s="20">
        <v>45329</v>
      </c>
      <c r="B6" s="21" t="s">
        <v>4</v>
      </c>
      <c r="C6" s="21" t="s">
        <v>9</v>
      </c>
      <c r="D6" s="21">
        <v>259</v>
      </c>
    </row>
    <row r="7" spans="1:4" x14ac:dyDescent="0.25">
      <c r="A7" s="20">
        <v>45329</v>
      </c>
      <c r="B7" s="21" t="s">
        <v>5</v>
      </c>
      <c r="C7" s="21" t="s">
        <v>8</v>
      </c>
      <c r="D7" s="21">
        <v>348</v>
      </c>
    </row>
    <row r="8" spans="1:4" x14ac:dyDescent="0.25">
      <c r="A8" s="20">
        <v>45329</v>
      </c>
      <c r="B8" s="21" t="s">
        <v>6</v>
      </c>
      <c r="C8" s="21" t="s">
        <v>8</v>
      </c>
      <c r="D8" s="21">
        <v>190</v>
      </c>
    </row>
    <row r="9" spans="1:4" x14ac:dyDescent="0.25">
      <c r="A9" s="20">
        <v>45329</v>
      </c>
      <c r="B9" s="21" t="s">
        <v>5</v>
      </c>
      <c r="C9" s="21" t="s">
        <v>9</v>
      </c>
      <c r="D9" s="21">
        <v>611</v>
      </c>
    </row>
    <row r="10" spans="1:4" x14ac:dyDescent="0.25">
      <c r="A10" s="20">
        <v>45336</v>
      </c>
      <c r="B10" s="21" t="s">
        <v>6</v>
      </c>
      <c r="C10" s="21" t="s">
        <v>8</v>
      </c>
      <c r="D10" s="21">
        <v>711</v>
      </c>
    </row>
    <row r="11" spans="1:4" x14ac:dyDescent="0.25">
      <c r="A11" s="20">
        <v>45336</v>
      </c>
      <c r="B11" s="21" t="s">
        <v>4</v>
      </c>
      <c r="C11" s="21" t="s">
        <v>10</v>
      </c>
      <c r="D11" s="21">
        <v>452</v>
      </c>
    </row>
    <row r="12" spans="1:4" x14ac:dyDescent="0.25">
      <c r="A12" s="20">
        <v>45336</v>
      </c>
      <c r="B12" s="21" t="s">
        <v>5</v>
      </c>
      <c r="C12" s="21" t="s">
        <v>9</v>
      </c>
      <c r="D12" s="21">
        <v>198</v>
      </c>
    </row>
    <row r="13" spans="1:4" x14ac:dyDescent="0.25">
      <c r="A13" s="20">
        <v>45342</v>
      </c>
      <c r="B13" s="21" t="s">
        <v>7</v>
      </c>
      <c r="C13" s="21" t="s">
        <v>10</v>
      </c>
      <c r="D13" s="21">
        <v>845</v>
      </c>
    </row>
    <row r="14" spans="1:4" x14ac:dyDescent="0.25">
      <c r="A14" s="20">
        <v>45342</v>
      </c>
      <c r="B14" s="21" t="s">
        <v>6</v>
      </c>
      <c r="C14" s="21" t="s">
        <v>10</v>
      </c>
      <c r="D14" s="21">
        <v>499</v>
      </c>
    </row>
    <row r="15" spans="1:4" x14ac:dyDescent="0.25">
      <c r="A15" s="20">
        <v>45350</v>
      </c>
      <c r="B15" s="21" t="s">
        <v>5</v>
      </c>
      <c r="C15" s="21" t="s">
        <v>9</v>
      </c>
      <c r="D15" s="21">
        <v>437</v>
      </c>
    </row>
    <row r="16" spans="1:4" x14ac:dyDescent="0.25">
      <c r="A16" s="20">
        <v>45350</v>
      </c>
      <c r="B16" s="21" t="s">
        <v>4</v>
      </c>
      <c r="C16" s="21" t="s">
        <v>9</v>
      </c>
      <c r="D16" s="21">
        <v>648</v>
      </c>
    </row>
    <row r="17" spans="1:4" x14ac:dyDescent="0.25">
      <c r="A17" s="20">
        <v>45350</v>
      </c>
      <c r="B17" s="21" t="s">
        <v>7</v>
      </c>
      <c r="C17" s="21" t="s">
        <v>10</v>
      </c>
      <c r="D17" s="21">
        <v>419</v>
      </c>
    </row>
    <row r="18" spans="1:4" x14ac:dyDescent="0.25">
      <c r="A18" s="20">
        <v>45350</v>
      </c>
      <c r="B18" s="21" t="s">
        <v>7</v>
      </c>
      <c r="C18" s="21" t="s">
        <v>9</v>
      </c>
      <c r="D18" s="21">
        <v>815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63EF9-37D2-466D-A9CB-0A0205660BAA}">
  <sheetPr codeName="wsStores"/>
  <dimension ref="A1:B5"/>
  <sheetViews>
    <sheetView zoomScale="150" zoomScaleNormal="150" workbookViewId="0">
      <selection activeCell="F5" sqref="F5"/>
    </sheetView>
  </sheetViews>
  <sheetFormatPr defaultRowHeight="15" x14ac:dyDescent="0.25"/>
  <cols>
    <col min="1" max="1" width="15.7109375" bestFit="1" customWidth="1"/>
    <col min="2" max="2" width="13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t="s">
        <v>4</v>
      </c>
      <c r="B2">
        <v>5</v>
      </c>
    </row>
    <row r="3" spans="1:2" x14ac:dyDescent="0.25">
      <c r="A3" t="s">
        <v>5</v>
      </c>
      <c r="B3">
        <v>9</v>
      </c>
    </row>
    <row r="4" spans="1:2" x14ac:dyDescent="0.25">
      <c r="A4" t="s">
        <v>6</v>
      </c>
      <c r="B4">
        <v>13</v>
      </c>
    </row>
    <row r="5" spans="1:2" x14ac:dyDescent="0.25">
      <c r="A5" t="s">
        <v>7</v>
      </c>
      <c r="B5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FE0FF-6926-446F-A0BB-B43B55A4A9A3}">
  <sheetPr codeName="Sheet1"/>
  <dimension ref="A2:D18"/>
  <sheetViews>
    <sheetView zoomScale="150" zoomScaleNormal="150" workbookViewId="0">
      <selection activeCell="A2" sqref="A2:D18"/>
    </sheetView>
  </sheetViews>
  <sheetFormatPr defaultRowHeight="15" x14ac:dyDescent="0.25"/>
  <cols>
    <col min="1" max="1" width="9.5703125" bestFit="1" customWidth="1"/>
    <col min="2" max="2" width="15.7109375" bestFit="1" customWidth="1"/>
    <col min="3" max="3" width="11.140625" bestFit="1" customWidth="1"/>
    <col min="4" max="4" width="4" bestFit="1" customWidth="1"/>
  </cols>
  <sheetData>
    <row r="2" spans="1:4" x14ac:dyDescent="0.25">
      <c r="A2" s="20">
        <v>45323</v>
      </c>
      <c r="B2" s="21" t="s">
        <v>4</v>
      </c>
      <c r="C2" s="21" t="s">
        <v>8</v>
      </c>
      <c r="D2" s="21">
        <v>960</v>
      </c>
    </row>
    <row r="3" spans="1:4" x14ac:dyDescent="0.25">
      <c r="A3" s="20">
        <v>45323</v>
      </c>
      <c r="B3" s="21" t="s">
        <v>5</v>
      </c>
      <c r="C3" s="21" t="s">
        <v>10</v>
      </c>
      <c r="D3" s="21">
        <v>510</v>
      </c>
    </row>
    <row r="4" spans="1:4" x14ac:dyDescent="0.25">
      <c r="A4" s="20">
        <v>45323</v>
      </c>
      <c r="B4" s="21" t="s">
        <v>6</v>
      </c>
      <c r="C4" s="21" t="s">
        <v>9</v>
      </c>
      <c r="D4" s="21">
        <v>112</v>
      </c>
    </row>
    <row r="5" spans="1:4" x14ac:dyDescent="0.25">
      <c r="A5" s="20">
        <v>45323</v>
      </c>
      <c r="B5" s="21" t="s">
        <v>7</v>
      </c>
      <c r="C5" s="21" t="s">
        <v>8</v>
      </c>
      <c r="D5" s="21">
        <v>321</v>
      </c>
    </row>
    <row r="6" spans="1:4" x14ac:dyDescent="0.25">
      <c r="A6" s="20">
        <v>45329</v>
      </c>
      <c r="B6" s="21" t="s">
        <v>4</v>
      </c>
      <c r="C6" s="21" t="s">
        <v>9</v>
      </c>
      <c r="D6" s="21">
        <v>259</v>
      </c>
    </row>
    <row r="7" spans="1:4" x14ac:dyDescent="0.25">
      <c r="A7" s="20">
        <v>45329</v>
      </c>
      <c r="B7" s="21" t="s">
        <v>5</v>
      </c>
      <c r="C7" s="21" t="s">
        <v>8</v>
      </c>
      <c r="D7" s="21">
        <v>348</v>
      </c>
    </row>
    <row r="8" spans="1:4" x14ac:dyDescent="0.25">
      <c r="A8" s="20">
        <v>45329</v>
      </c>
      <c r="B8" s="21" t="s">
        <v>6</v>
      </c>
      <c r="C8" s="21" t="s">
        <v>8</v>
      </c>
      <c r="D8" s="21">
        <v>190</v>
      </c>
    </row>
    <row r="9" spans="1:4" x14ac:dyDescent="0.25">
      <c r="A9" s="20">
        <v>45329</v>
      </c>
      <c r="B9" s="21" t="s">
        <v>5</v>
      </c>
      <c r="C9" s="21" t="s">
        <v>9</v>
      </c>
      <c r="D9" s="21">
        <v>611</v>
      </c>
    </row>
    <row r="10" spans="1:4" x14ac:dyDescent="0.25">
      <c r="A10" s="20">
        <v>45336</v>
      </c>
      <c r="B10" s="21" t="s">
        <v>6</v>
      </c>
      <c r="C10" s="21" t="s">
        <v>8</v>
      </c>
      <c r="D10" s="21">
        <v>711</v>
      </c>
    </row>
    <row r="11" spans="1:4" x14ac:dyDescent="0.25">
      <c r="A11" s="20">
        <v>45336</v>
      </c>
      <c r="B11" s="21" t="s">
        <v>4</v>
      </c>
      <c r="C11" s="21" t="s">
        <v>10</v>
      </c>
      <c r="D11" s="21">
        <v>452</v>
      </c>
    </row>
    <row r="12" spans="1:4" x14ac:dyDescent="0.25">
      <c r="A12" s="20">
        <v>45336</v>
      </c>
      <c r="B12" s="21" t="s">
        <v>5</v>
      </c>
      <c r="C12" s="21" t="s">
        <v>9</v>
      </c>
      <c r="D12" s="21">
        <v>198</v>
      </c>
    </row>
    <row r="13" spans="1:4" x14ac:dyDescent="0.25">
      <c r="A13" s="20">
        <v>45342</v>
      </c>
      <c r="B13" s="21" t="s">
        <v>7</v>
      </c>
      <c r="C13" s="21" t="s">
        <v>10</v>
      </c>
      <c r="D13" s="21">
        <v>845</v>
      </c>
    </row>
    <row r="14" spans="1:4" x14ac:dyDescent="0.25">
      <c r="A14" s="20">
        <v>45342</v>
      </c>
      <c r="B14" s="21" t="s">
        <v>6</v>
      </c>
      <c r="C14" s="21" t="s">
        <v>10</v>
      </c>
      <c r="D14" s="21">
        <v>499</v>
      </c>
    </row>
    <row r="15" spans="1:4" x14ac:dyDescent="0.25">
      <c r="A15" s="20">
        <v>45350</v>
      </c>
      <c r="B15" s="21" t="s">
        <v>5</v>
      </c>
      <c r="C15" s="21" t="s">
        <v>9</v>
      </c>
      <c r="D15" s="21">
        <v>437</v>
      </c>
    </row>
    <row r="16" spans="1:4" x14ac:dyDescent="0.25">
      <c r="A16" s="20">
        <v>45350</v>
      </c>
      <c r="B16" s="21" t="s">
        <v>4</v>
      </c>
      <c r="C16" s="21" t="s">
        <v>9</v>
      </c>
      <c r="D16" s="21">
        <v>648</v>
      </c>
    </row>
    <row r="17" spans="1:4" x14ac:dyDescent="0.25">
      <c r="A17" s="20">
        <v>45350</v>
      </c>
      <c r="B17" s="21" t="s">
        <v>7</v>
      </c>
      <c r="C17" s="21" t="s">
        <v>10</v>
      </c>
      <c r="D17" s="21">
        <v>419</v>
      </c>
    </row>
    <row r="18" spans="1:4" x14ac:dyDescent="0.25">
      <c r="A18" s="20">
        <v>45350</v>
      </c>
      <c r="B18" s="21" t="s">
        <v>7</v>
      </c>
      <c r="C18" s="21" t="s">
        <v>9</v>
      </c>
      <c r="D18" s="21">
        <v>815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ProductCharts</vt:lpstr>
      <vt:lpstr>Data</vt:lpstr>
      <vt:lpstr>Stores</vt:lpstr>
      <vt:lpstr>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ashvin chemburker</dc:creator>
  <cp:lastModifiedBy>ashvin chemburker</cp:lastModifiedBy>
  <dcterms:created xsi:type="dcterms:W3CDTF">2024-02-18T09:50:41Z</dcterms:created>
  <dcterms:modified xsi:type="dcterms:W3CDTF">2024-02-24T06:49:36Z</dcterms:modified>
</cp:coreProperties>
</file>